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53222"/>
  <mc:AlternateContent xmlns:mc="http://schemas.openxmlformats.org/markup-compatibility/2006">
    <mc:Choice Requires="x15">
      <x15ac:absPath xmlns:x15ac="http://schemas.microsoft.com/office/spreadsheetml/2010/11/ac" url="C:\Users\dell\Documents\Istudio\Assignment Submission\"/>
    </mc:Choice>
  </mc:AlternateContent>
  <bookViews>
    <workbookView minimized="1" xWindow="0" yWindow="0" windowWidth="11688" windowHeight="9324" activeTab="1"/>
  </bookViews>
  <sheets>
    <sheet name="Sheet2" sheetId="2" r:id="rId1"/>
    <sheet name="Sheet1" sheetId="1" r:id="rId2"/>
  </sheets>
  <definedNames>
    <definedName name="Slicer_department">#N/A</definedName>
  </definedNames>
  <calcPr calcId="152511"/>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 i="1" l="1"/>
  <c r="L4" i="1"/>
  <c r="L2" i="1"/>
  <c r="I11" i="1"/>
  <c r="B22" i="1"/>
  <c r="H4" i="1"/>
  <c r="H5" i="1"/>
  <c r="H6" i="1"/>
  <c r="I6" i="1" s="1"/>
  <c r="H7" i="1"/>
  <c r="I7" i="1" s="1"/>
  <c r="H8" i="1"/>
  <c r="I8" i="1" s="1"/>
  <c r="H9" i="1"/>
  <c r="I9" i="1" s="1"/>
  <c r="H10" i="1"/>
  <c r="I10" i="1" s="1"/>
  <c r="H11" i="1"/>
  <c r="H12" i="1"/>
  <c r="I12" i="1" s="1"/>
  <c r="H13" i="1"/>
  <c r="I13" i="1" s="1"/>
  <c r="H14" i="1"/>
  <c r="I14" i="1" s="1"/>
  <c r="H15" i="1"/>
  <c r="I15" i="1" s="1"/>
  <c r="H16" i="1"/>
  <c r="I16" i="1" s="1"/>
  <c r="H3" i="1"/>
  <c r="I3" i="1" s="1"/>
  <c r="H2" i="1"/>
  <c r="I2" i="1" s="1"/>
  <c r="B23" i="1" l="1"/>
  <c r="B19" i="1"/>
  <c r="B18" i="1"/>
  <c r="I5" i="1"/>
  <c r="I4" i="1"/>
  <c r="B21" i="1"/>
  <c r="B20" i="1"/>
</calcChain>
</file>

<file path=xl/comments1.xml><?xml version="1.0" encoding="utf-8"?>
<comments xmlns="http://schemas.openxmlformats.org/spreadsheetml/2006/main">
  <authors>
    <author>dell</author>
  </authors>
  <commentList>
    <comment ref="C15" authorId="0" shapeId="0">
      <text>
        <r>
          <rPr>
            <b/>
            <sz val="9"/>
            <color indexed="81"/>
            <rFont val="Tahoma"/>
            <family val="2"/>
          </rPr>
          <t>dell:</t>
        </r>
        <r>
          <rPr>
            <sz val="9"/>
            <color indexed="81"/>
            <rFont val="Tahoma"/>
            <family val="2"/>
          </rPr>
          <t xml:space="preserve">
</t>
        </r>
      </text>
    </comment>
  </commentList>
</comments>
</file>

<file path=xl/sharedStrings.xml><?xml version="1.0" encoding="utf-8"?>
<sst xmlns="http://schemas.openxmlformats.org/spreadsheetml/2006/main" count="129" uniqueCount="64">
  <si>
    <t>emp_id</t>
  </si>
  <si>
    <t>name</t>
  </si>
  <si>
    <t>department</t>
  </si>
  <si>
    <t>product</t>
  </si>
  <si>
    <t>quantity</t>
  </si>
  <si>
    <t>unit_price</t>
  </si>
  <si>
    <t>sale_date</t>
  </si>
  <si>
    <t>E01</t>
  </si>
  <si>
    <t>E02</t>
  </si>
  <si>
    <t>E03</t>
  </si>
  <si>
    <t>E04</t>
  </si>
  <si>
    <t>E05</t>
  </si>
  <si>
    <t>E06</t>
  </si>
  <si>
    <t>E07</t>
  </si>
  <si>
    <t>E08</t>
  </si>
  <si>
    <t>E09</t>
  </si>
  <si>
    <t>E10</t>
  </si>
  <si>
    <t>Aarav</t>
  </si>
  <si>
    <t>Bhavya</t>
  </si>
  <si>
    <t>Chirag</t>
  </si>
  <si>
    <t>Diya</t>
  </si>
  <si>
    <t>Eshan</t>
  </si>
  <si>
    <t>Farah</t>
  </si>
  <si>
    <t>Gaurav</t>
  </si>
  <si>
    <t>Hina</t>
  </si>
  <si>
    <t>Ishan</t>
  </si>
  <si>
    <t>Jiya</t>
  </si>
  <si>
    <t>Electronics</t>
  </si>
  <si>
    <t>Fashion</t>
  </si>
  <si>
    <t>Grocery</t>
  </si>
  <si>
    <t>Laptop</t>
  </si>
  <si>
    <t>Saree</t>
  </si>
  <si>
    <t>Headphones</t>
  </si>
  <si>
    <t>Shoes</t>
  </si>
  <si>
    <t>Row Labels</t>
  </si>
  <si>
    <t>Grand Total</t>
  </si>
  <si>
    <t>Smartphone</t>
  </si>
  <si>
    <t>Tablet</t>
  </si>
  <si>
    <t>Rice (Kg)</t>
  </si>
  <si>
    <t>Watch</t>
  </si>
  <si>
    <t>Oil (Litre)</t>
  </si>
  <si>
    <t>Mouse</t>
  </si>
  <si>
    <t>T-Shirt</t>
  </si>
  <si>
    <t>Sugar (Kg)</t>
  </si>
  <si>
    <t>Backpack</t>
  </si>
  <si>
    <t>Charger</t>
  </si>
  <si>
    <t>Tea (gm)</t>
  </si>
  <si>
    <t>total_amount</t>
  </si>
  <si>
    <t>Total Revenue :</t>
  </si>
  <si>
    <t xml:space="preserve">Average Sale : </t>
  </si>
  <si>
    <t>Maximum Sale :</t>
  </si>
  <si>
    <t>Minimum Sale :</t>
  </si>
  <si>
    <t xml:space="preserve">Fashion Sale Count : </t>
  </si>
  <si>
    <t xml:space="preserve">Electronics Revenue : </t>
  </si>
  <si>
    <t>Bonus</t>
  </si>
  <si>
    <t>Sum of total_amount</t>
  </si>
  <si>
    <t>Sum of quantity</t>
  </si>
  <si>
    <t>Department</t>
  </si>
  <si>
    <t>Total Revenue</t>
  </si>
  <si>
    <t>Column Labels</t>
  </si>
  <si>
    <t>Revenue By Department :</t>
  </si>
  <si>
    <t>Revenue By Department &amp; Employment :</t>
  </si>
  <si>
    <t>Quantity Sold By Product :</t>
  </si>
  <si>
    <t>Add A Slicer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</si>
</sst>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m/d/yyyy;@"/>
    <numFmt numFmtId="165" formatCode="[$₹-439]#,##0.00"/>
    <numFmt numFmtId="166" formatCode="[$₹-439]#,##0"/>
    <numFmt numFmtId="167" formatCode="dd/mm/yyyy"/>
  </numFmts>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xf numFmtId="0" fontId="0" fillId="0" borderId="0" xfId="0" applyAlignment="1">
      <alignment vertical="center"/>
    </xf>
    <xf numFmtId="0" fontId="1" fillId="2" borderId="0" xfId="0" applyFont="1" applyFill="1"/>
    <xf numFmtId="164" fontId="0" fillId="0" borderId="0" xfId="0" applyNumberFormat="1" applyAlignment="1">
      <alignment vertical="center"/>
    </xf>
    <xf numFmtId="164" fontId="0" fillId="0" borderId="0" xfId="0" applyNumberFormat="1"/>
    <xf numFmtId="0" fontId="1" fillId="0" borderId="0" xfId="0" applyFont="1" applyFill="1"/>
    <xf numFmtId="0" fontId="1" fillId="2" borderId="1" xfId="0" applyFont="1" applyFill="1" applyBorder="1" applyAlignment="1"/>
    <xf numFmtId="165" fontId="1" fillId="2" borderId="1" xfId="0" applyNumberFormat="1" applyFont="1" applyFill="1" applyBorder="1" applyAlignment="1"/>
    <xf numFmtId="164" fontId="1" fillId="2" borderId="1" xfId="0" applyNumberFormat="1" applyFont="1" applyFill="1" applyBorder="1" applyAlignment="1"/>
    <xf numFmtId="0" fontId="0" fillId="0" borderId="1" xfId="0" applyBorder="1" applyAlignment="1">
      <alignment vertical="center"/>
    </xf>
    <xf numFmtId="166" fontId="0" fillId="0" borderId="1" xfId="0" applyNumberFormat="1" applyBorder="1" applyAlignment="1">
      <alignment vertical="center"/>
    </xf>
    <xf numFmtId="167" fontId="0" fillId="0" borderId="1" xfId="0" applyNumberFormat="1" applyBorder="1" applyAlignment="1">
      <alignment vertical="center"/>
    </xf>
    <xf numFmtId="0" fontId="0" fillId="0" borderId="1" xfId="0" applyBorder="1"/>
    <xf numFmtId="166" fontId="0" fillId="0" borderId="1" xfId="0" applyNumberFormat="1" applyBorder="1"/>
    <xf numFmtId="0" fontId="0" fillId="0" borderId="0" xfId="0" applyFill="1" applyBorder="1" applyAlignment="1">
      <alignment vertical="center"/>
    </xf>
    <xf numFmtId="166" fontId="0" fillId="0" borderId="0" xfId="0" applyNumberFormat="1"/>
    <xf numFmtId="0" fontId="1" fillId="2" borderId="1" xfId="0" applyFont="1" applyFill="1" applyBorder="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Fill="1" applyAlignment="1">
      <alignment horizontal="left"/>
    </xf>
    <xf numFmtId="0" fontId="0" fillId="2" borderId="0" xfId="0" applyFill="1"/>
  </cellXfs>
  <cellStyles count="1">
    <cellStyle name="Normal" xfId="0" builtinId="0"/>
  </cellStyles>
  <dxfs count="2">
    <dxf>
      <numFmt numFmtId="166" formatCode="[$₹-439]#,##0"/>
    </dxf>
    <dxf>
      <numFmt numFmtId="166" formatCode="[$₹-43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[sales_data.xlsx]Sheet2!PivotTable20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Department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Electronics</c:v>
                </c:pt>
                <c:pt idx="1">
                  <c:v>Fashion</c:v>
                </c:pt>
                <c:pt idx="2">
                  <c:v>Grocery</c:v>
                </c:pt>
              </c:strCache>
            </c:strRef>
          </c:cat>
          <c:val>
            <c:numRef>
              <c:f>Sheet2!$B$4:$B$7</c:f>
              <c:numCache>
                <c:formatCode>General</c:formatCode>
                <c:ptCount val="3"/>
                <c:pt idx="0">
                  <c:v>285992</c:v>
                </c:pt>
                <c:pt idx="1">
                  <c:v>48290</c:v>
                </c:pt>
                <c:pt idx="2">
                  <c:v>7425</c:v>
                </c:pt>
              </c:numCache>
            </c:numRef>
          </c:val>
        </c:ser>
        <c:dLbls>
          <c:showLegendKey val="0"/>
          <c:showVal val="0"/>
          <c:showCatName val="0"/>
          <c:showSerName val="0"/>
          <c:showPercent val="0"/>
          <c:showBubbleSize val="0"/>
        </c:dLbls>
        <c:gapWidth val="219"/>
        <c:overlap val="-27"/>
        <c:axId val="310076496"/>
        <c:axId val="310078064"/>
      </c:barChart>
      <c:catAx>
        <c:axId val="31007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78064"/>
        <c:crosses val="autoZero"/>
        <c:auto val="1"/>
        <c:lblAlgn val="ctr"/>
        <c:lblOffset val="100"/>
        <c:noMultiLvlLbl val="0"/>
      </c:catAx>
      <c:valAx>
        <c:axId val="31007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764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[sales_data.xlsx]Sheet2!PivotTable21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Department &amp; Employment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Sheet2!$B$26</c:f>
              <c:strCache>
                <c:ptCount val="1"/>
                <c:pt idx="0">
                  <c:v>Total</c:v>
                </c:pt>
              </c:strCache>
            </c:strRef>
          </c:tx>
          <c:spPr>
            <a:solidFill>
              <a:schemeClr val="accent1"/>
            </a:solidFill>
            <a:ln>
              <a:noFill/>
            </a:ln>
            <a:effectLst/>
          </c:spPr>
          <c:invertIfNegative val="0"/>
          <c:cat>
            <c:multiLvlStrRef>
              <c:f>Sheet2!$A$27:$A$40</c:f>
              <c:multiLvlStrCache>
                <c:ptCount val="10"/>
                <c:lvl>
                  <c:pt idx="0">
                    <c:v>Aarav</c:v>
                  </c:pt>
                  <c:pt idx="1">
                    <c:v>Chirag</c:v>
                  </c:pt>
                  <c:pt idx="2">
                    <c:v>Eshan</c:v>
                  </c:pt>
                  <c:pt idx="3">
                    <c:v>Bhavya</c:v>
                  </c:pt>
                  <c:pt idx="4">
                    <c:v>Diya</c:v>
                  </c:pt>
                  <c:pt idx="5">
                    <c:v>Gaurav</c:v>
                  </c:pt>
                  <c:pt idx="6">
                    <c:v>Farah</c:v>
                  </c:pt>
                  <c:pt idx="7">
                    <c:v>Hina</c:v>
                  </c:pt>
                  <c:pt idx="8">
                    <c:v>Ishan</c:v>
                  </c:pt>
                  <c:pt idx="9">
                    <c:v>Jiya</c:v>
                  </c:pt>
                </c:lvl>
                <c:lvl>
                  <c:pt idx="0">
                    <c:v>Electronics</c:v>
                  </c:pt>
                  <c:pt idx="3">
                    <c:v>Fashion</c:v>
                  </c:pt>
                  <c:pt idx="6">
                    <c:v>Grocery</c:v>
                  </c:pt>
                </c:lvl>
              </c:multiLvlStrCache>
            </c:multiLvlStrRef>
          </c:cat>
          <c:val>
            <c:numRef>
              <c:f>Sheet2!$B$27:$B$40</c:f>
              <c:numCache>
                <c:formatCode>[$₹-439]#,##0</c:formatCode>
                <c:ptCount val="10"/>
                <c:pt idx="0">
                  <c:v>128000</c:v>
                </c:pt>
                <c:pt idx="1">
                  <c:v>22192</c:v>
                </c:pt>
                <c:pt idx="2">
                  <c:v>135800</c:v>
                </c:pt>
                <c:pt idx="3">
                  <c:v>27490</c:v>
                </c:pt>
                <c:pt idx="4">
                  <c:v>13800</c:v>
                </c:pt>
                <c:pt idx="5">
                  <c:v>7000</c:v>
                </c:pt>
                <c:pt idx="6">
                  <c:v>1600</c:v>
                </c:pt>
                <c:pt idx="7">
                  <c:v>2700</c:v>
                </c:pt>
                <c:pt idx="8">
                  <c:v>1375</c:v>
                </c:pt>
                <c:pt idx="9">
                  <c:v>1750</c:v>
                </c:pt>
              </c:numCache>
            </c:numRef>
          </c:val>
        </c:ser>
        <c:dLbls>
          <c:showLegendKey val="0"/>
          <c:showVal val="0"/>
          <c:showCatName val="0"/>
          <c:showSerName val="0"/>
          <c:showPercent val="0"/>
          <c:showBubbleSize val="0"/>
        </c:dLbls>
        <c:gapWidth val="150"/>
        <c:overlap val="100"/>
        <c:axId val="310076888"/>
        <c:axId val="310078456"/>
      </c:barChart>
      <c:catAx>
        <c:axId val="310076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78456"/>
        <c:crosses val="autoZero"/>
        <c:auto val="1"/>
        <c:lblAlgn val="ctr"/>
        <c:lblOffset val="100"/>
        <c:noMultiLvlLbl val="0"/>
      </c:catAx>
      <c:valAx>
        <c:axId val="310078456"/>
        <c:scaling>
          <c:orientation val="minMax"/>
        </c:scaling>
        <c:delete val="0"/>
        <c:axPos val="l"/>
        <c:majorGridlines>
          <c:spPr>
            <a:ln w="9525" cap="flat" cmpd="sng" algn="ctr">
              <a:solidFill>
                <a:schemeClr val="tx1">
                  <a:lumMod val="15000"/>
                  <a:lumOff val="85000"/>
                </a:schemeClr>
              </a:solidFill>
              <a:round/>
            </a:ln>
            <a:effectLst/>
          </c:spPr>
        </c:majorGridlines>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76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[sales_data.xlsx]Sheet2!PivotTable22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stacked"/>
        <c:varyColors val="0"/>
        <c:ser>
          <c:idx val="0"/>
          <c:order val="0"/>
          <c:tx>
            <c:strRef>
              <c:f>Sheet2!$B$60:$B$61</c:f>
              <c:strCache>
                <c:ptCount val="1"/>
                <c:pt idx="0">
                  <c:v>Electronics</c:v>
                </c:pt>
              </c:strCache>
            </c:strRef>
          </c:tx>
          <c:spPr>
            <a:solidFill>
              <a:schemeClr val="accent1"/>
            </a:solidFill>
            <a:ln>
              <a:noFill/>
            </a:ln>
            <a:effectLst/>
          </c:spPr>
          <c:invertIfNegative val="0"/>
          <c:cat>
            <c:strRef>
              <c:f>Sheet2!$A$62:$A$77</c:f>
              <c:strCache>
                <c:ptCount val="15"/>
                <c:pt idx="0">
                  <c:v>Backpack</c:v>
                </c:pt>
                <c:pt idx="1">
                  <c:v>Charger</c:v>
                </c:pt>
                <c:pt idx="2">
                  <c:v>Headphones</c:v>
                </c:pt>
                <c:pt idx="3">
                  <c:v>Laptop</c:v>
                </c:pt>
                <c:pt idx="4">
                  <c:v>Mouse</c:v>
                </c:pt>
                <c:pt idx="5">
                  <c:v>Oil (Litre)</c:v>
                </c:pt>
                <c:pt idx="6">
                  <c:v>Rice (Kg)</c:v>
                </c:pt>
                <c:pt idx="7">
                  <c:v>Saree</c:v>
                </c:pt>
                <c:pt idx="8">
                  <c:v>Shoes</c:v>
                </c:pt>
                <c:pt idx="9">
                  <c:v>Smartphone</c:v>
                </c:pt>
                <c:pt idx="10">
                  <c:v>Sugar (Kg)</c:v>
                </c:pt>
                <c:pt idx="11">
                  <c:v>Tablet</c:v>
                </c:pt>
                <c:pt idx="12">
                  <c:v>Tea (gm)</c:v>
                </c:pt>
                <c:pt idx="13">
                  <c:v>T-Shirt</c:v>
                </c:pt>
                <c:pt idx="14">
                  <c:v>Watch</c:v>
                </c:pt>
              </c:strCache>
            </c:strRef>
          </c:cat>
          <c:val>
            <c:numRef>
              <c:f>Sheet2!$B$62:$B$77</c:f>
              <c:numCache>
                <c:formatCode>General</c:formatCode>
                <c:ptCount val="15"/>
                <c:pt idx="1">
                  <c:v>12</c:v>
                </c:pt>
                <c:pt idx="2">
                  <c:v>10</c:v>
                </c:pt>
                <c:pt idx="3">
                  <c:v>2</c:v>
                </c:pt>
                <c:pt idx="4">
                  <c:v>8</c:v>
                </c:pt>
                <c:pt idx="9">
                  <c:v>4</c:v>
                </c:pt>
                <c:pt idx="11">
                  <c:v>1</c:v>
                </c:pt>
              </c:numCache>
            </c:numRef>
          </c:val>
        </c:ser>
        <c:ser>
          <c:idx val="1"/>
          <c:order val="1"/>
          <c:tx>
            <c:strRef>
              <c:f>Sheet2!$C$60:$C$61</c:f>
              <c:strCache>
                <c:ptCount val="1"/>
                <c:pt idx="0">
                  <c:v>Fashion</c:v>
                </c:pt>
              </c:strCache>
            </c:strRef>
          </c:tx>
          <c:spPr>
            <a:solidFill>
              <a:schemeClr val="accent2"/>
            </a:solidFill>
            <a:ln>
              <a:noFill/>
            </a:ln>
            <a:effectLst/>
          </c:spPr>
          <c:invertIfNegative val="0"/>
          <c:cat>
            <c:strRef>
              <c:f>Sheet2!$A$62:$A$77</c:f>
              <c:strCache>
                <c:ptCount val="15"/>
                <c:pt idx="0">
                  <c:v>Backpack</c:v>
                </c:pt>
                <c:pt idx="1">
                  <c:v>Charger</c:v>
                </c:pt>
                <c:pt idx="2">
                  <c:v>Headphones</c:v>
                </c:pt>
                <c:pt idx="3">
                  <c:v>Laptop</c:v>
                </c:pt>
                <c:pt idx="4">
                  <c:v>Mouse</c:v>
                </c:pt>
                <c:pt idx="5">
                  <c:v>Oil (Litre)</c:v>
                </c:pt>
                <c:pt idx="6">
                  <c:v>Rice (Kg)</c:v>
                </c:pt>
                <c:pt idx="7">
                  <c:v>Saree</c:v>
                </c:pt>
                <c:pt idx="8">
                  <c:v>Shoes</c:v>
                </c:pt>
                <c:pt idx="9">
                  <c:v>Smartphone</c:v>
                </c:pt>
                <c:pt idx="10">
                  <c:v>Sugar (Kg)</c:v>
                </c:pt>
                <c:pt idx="11">
                  <c:v>Tablet</c:v>
                </c:pt>
                <c:pt idx="12">
                  <c:v>Tea (gm)</c:v>
                </c:pt>
                <c:pt idx="13">
                  <c:v>T-Shirt</c:v>
                </c:pt>
                <c:pt idx="14">
                  <c:v>Watch</c:v>
                </c:pt>
              </c:strCache>
            </c:strRef>
          </c:cat>
          <c:val>
            <c:numRef>
              <c:f>Sheet2!$C$62:$C$77</c:f>
              <c:numCache>
                <c:formatCode>General</c:formatCode>
                <c:ptCount val="15"/>
                <c:pt idx="0">
                  <c:v>4</c:v>
                </c:pt>
                <c:pt idx="7">
                  <c:v>5</c:v>
                </c:pt>
                <c:pt idx="8">
                  <c:v>3</c:v>
                </c:pt>
                <c:pt idx="13">
                  <c:v>10</c:v>
                </c:pt>
                <c:pt idx="14">
                  <c:v>2</c:v>
                </c:pt>
              </c:numCache>
            </c:numRef>
          </c:val>
        </c:ser>
        <c:ser>
          <c:idx val="2"/>
          <c:order val="2"/>
          <c:tx>
            <c:strRef>
              <c:f>Sheet2!$D$60:$D$61</c:f>
              <c:strCache>
                <c:ptCount val="1"/>
                <c:pt idx="0">
                  <c:v>Grocery</c:v>
                </c:pt>
              </c:strCache>
            </c:strRef>
          </c:tx>
          <c:spPr>
            <a:solidFill>
              <a:schemeClr val="accent3"/>
            </a:solidFill>
            <a:ln>
              <a:noFill/>
            </a:ln>
            <a:effectLst/>
          </c:spPr>
          <c:invertIfNegative val="0"/>
          <c:cat>
            <c:strRef>
              <c:f>Sheet2!$A$62:$A$77</c:f>
              <c:strCache>
                <c:ptCount val="15"/>
                <c:pt idx="0">
                  <c:v>Backpack</c:v>
                </c:pt>
                <c:pt idx="1">
                  <c:v>Charger</c:v>
                </c:pt>
                <c:pt idx="2">
                  <c:v>Headphones</c:v>
                </c:pt>
                <c:pt idx="3">
                  <c:v>Laptop</c:v>
                </c:pt>
                <c:pt idx="4">
                  <c:v>Mouse</c:v>
                </c:pt>
                <c:pt idx="5">
                  <c:v>Oil (Litre)</c:v>
                </c:pt>
                <c:pt idx="6">
                  <c:v>Rice (Kg)</c:v>
                </c:pt>
                <c:pt idx="7">
                  <c:v>Saree</c:v>
                </c:pt>
                <c:pt idx="8">
                  <c:v>Shoes</c:v>
                </c:pt>
                <c:pt idx="9">
                  <c:v>Smartphone</c:v>
                </c:pt>
                <c:pt idx="10">
                  <c:v>Sugar (Kg)</c:v>
                </c:pt>
                <c:pt idx="11">
                  <c:v>Tablet</c:v>
                </c:pt>
                <c:pt idx="12">
                  <c:v>Tea (gm)</c:v>
                </c:pt>
                <c:pt idx="13">
                  <c:v>T-Shirt</c:v>
                </c:pt>
                <c:pt idx="14">
                  <c:v>Watch</c:v>
                </c:pt>
              </c:strCache>
            </c:strRef>
          </c:cat>
          <c:val>
            <c:numRef>
              <c:f>Sheet2!$D$62:$D$77</c:f>
              <c:numCache>
                <c:formatCode>General</c:formatCode>
                <c:ptCount val="15"/>
                <c:pt idx="5">
                  <c:v>15</c:v>
                </c:pt>
                <c:pt idx="6">
                  <c:v>20</c:v>
                </c:pt>
                <c:pt idx="10">
                  <c:v>25</c:v>
                </c:pt>
                <c:pt idx="12">
                  <c:v>5</c:v>
                </c:pt>
              </c:numCache>
            </c:numRef>
          </c:val>
        </c:ser>
        <c:dLbls>
          <c:showLegendKey val="0"/>
          <c:showVal val="0"/>
          <c:showCatName val="0"/>
          <c:showSerName val="0"/>
          <c:showPercent val="0"/>
          <c:showBubbleSize val="0"/>
        </c:dLbls>
        <c:gapWidth val="150"/>
        <c:overlap val="100"/>
        <c:axId val="310076104"/>
        <c:axId val="310081984"/>
      </c:barChart>
      <c:catAx>
        <c:axId val="310076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81984"/>
        <c:crosses val="autoZero"/>
        <c:auto val="1"/>
        <c:lblAlgn val="ctr"/>
        <c:lblOffset val="100"/>
        <c:noMultiLvlLbl val="0"/>
      </c:catAx>
      <c:valAx>
        <c:axId val="310081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76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Name VS Total</a:t>
            </a:r>
            <a:r>
              <a:rPr lang="en-US" baseline="0"/>
              <a:t> Amount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Sheet1!$H$1</c:f>
              <c:strCache>
                <c:ptCount val="1"/>
                <c:pt idx="0">
                  <c:v>total_amount</c:v>
                </c:pt>
              </c:strCache>
            </c:strRef>
          </c:tx>
          <c:spPr>
            <a:solidFill>
              <a:schemeClr val="accent1"/>
            </a:solidFill>
            <a:ln>
              <a:noFill/>
            </a:ln>
            <a:effectLst/>
          </c:spPr>
          <c:invertIfNegative val="0"/>
          <c:cat>
            <c:strRef>
              <c:f>Sheet1!$D$2:$D$16</c:f>
              <c:strCache>
                <c:ptCount val="15"/>
                <c:pt idx="0">
                  <c:v>Laptop</c:v>
                </c:pt>
                <c:pt idx="1">
                  <c:v>Saree</c:v>
                </c:pt>
                <c:pt idx="2">
                  <c:v>Headphones</c:v>
                </c:pt>
                <c:pt idx="3">
                  <c:v>Shoes</c:v>
                </c:pt>
                <c:pt idx="4">
                  <c:v>Smartphone</c:v>
                </c:pt>
                <c:pt idx="5">
                  <c:v>Tablet</c:v>
                </c:pt>
                <c:pt idx="6">
                  <c:v>Rice (Kg)</c:v>
                </c:pt>
                <c:pt idx="7">
                  <c:v>Watch</c:v>
                </c:pt>
                <c:pt idx="8">
                  <c:v>Oil (Litre)</c:v>
                </c:pt>
                <c:pt idx="9">
                  <c:v>Mouse</c:v>
                </c:pt>
                <c:pt idx="10">
                  <c:v>T-Shirt</c:v>
                </c:pt>
                <c:pt idx="11">
                  <c:v>Sugar (Kg)</c:v>
                </c:pt>
                <c:pt idx="12">
                  <c:v>Backpack</c:v>
                </c:pt>
                <c:pt idx="13">
                  <c:v>Charger</c:v>
                </c:pt>
                <c:pt idx="14">
                  <c:v>Tea (gm)</c:v>
                </c:pt>
              </c:strCache>
            </c:strRef>
          </c:cat>
          <c:val>
            <c:numRef>
              <c:f>Sheet1!$H$2:$H$16</c:f>
              <c:numCache>
                <c:formatCode>[$₹-439]#,##0</c:formatCode>
                <c:ptCount val="15"/>
                <c:pt idx="0">
                  <c:v>110000</c:v>
                </c:pt>
                <c:pt idx="1">
                  <c:v>22500</c:v>
                </c:pt>
                <c:pt idx="2">
                  <c:v>15000</c:v>
                </c:pt>
                <c:pt idx="3">
                  <c:v>6600</c:v>
                </c:pt>
                <c:pt idx="4">
                  <c:v>128000</c:v>
                </c:pt>
                <c:pt idx="5">
                  <c:v>18000</c:v>
                </c:pt>
                <c:pt idx="6">
                  <c:v>1600</c:v>
                </c:pt>
                <c:pt idx="7">
                  <c:v>7000</c:v>
                </c:pt>
                <c:pt idx="8">
                  <c:v>2700</c:v>
                </c:pt>
                <c:pt idx="9">
                  <c:v>7192</c:v>
                </c:pt>
                <c:pt idx="10">
                  <c:v>4990</c:v>
                </c:pt>
                <c:pt idx="11">
                  <c:v>1375</c:v>
                </c:pt>
                <c:pt idx="12">
                  <c:v>7200</c:v>
                </c:pt>
                <c:pt idx="13">
                  <c:v>7800</c:v>
                </c:pt>
                <c:pt idx="14">
                  <c:v>1750</c:v>
                </c:pt>
              </c:numCache>
            </c:numRef>
          </c:val>
        </c:ser>
        <c:dLbls>
          <c:showLegendKey val="0"/>
          <c:showVal val="0"/>
          <c:showCatName val="0"/>
          <c:showSerName val="0"/>
          <c:showPercent val="0"/>
          <c:showBubbleSize val="0"/>
        </c:dLbls>
        <c:gapWidth val="182"/>
        <c:axId val="310082376"/>
        <c:axId val="310078848"/>
      </c:barChart>
      <c:catAx>
        <c:axId val="310082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Name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78848"/>
        <c:crosses val="autoZero"/>
        <c:auto val="1"/>
        <c:lblAlgn val="ctr"/>
        <c:lblOffset val="100"/>
        <c:noMultiLvlLbl val="0"/>
      </c:catAx>
      <c:valAx>
        <c:axId val="3100788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Amount</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8237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Revenue Share by Department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Sheet1!$L$1</c:f>
              <c:strCache>
                <c:ptCount val="1"/>
                <c:pt idx="0">
                  <c:v>Total 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Sheet1!$K$2:$K$4</c:f>
              <c:strCache>
                <c:ptCount val="3"/>
                <c:pt idx="0">
                  <c:v>Electronics</c:v>
                </c:pt>
                <c:pt idx="1">
                  <c:v>Fashion</c:v>
                </c:pt>
                <c:pt idx="2">
                  <c:v>Grocery</c:v>
                </c:pt>
              </c:strCache>
            </c:strRef>
          </c:cat>
          <c:val>
            <c:numRef>
              <c:f>Sheet1!$L$2:$L$4</c:f>
              <c:numCache>
                <c:formatCode>General</c:formatCode>
                <c:ptCount val="3"/>
                <c:pt idx="0">
                  <c:v>285992</c:v>
                </c:pt>
                <c:pt idx="1">
                  <c:v>48290</c:v>
                </c:pt>
                <c:pt idx="2">
                  <c:v>7425</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Date VS</a:t>
            </a:r>
            <a:r>
              <a:rPr lang="en-US" baseline="0"/>
              <a:t> Total Amount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Sheet1!$H$1</c:f>
              <c:strCache>
                <c:ptCount val="1"/>
                <c:pt idx="0">
                  <c:v>total_amount</c:v>
                </c:pt>
              </c:strCache>
            </c:strRef>
          </c:tx>
          <c:spPr>
            <a:ln w="28575" cap="rnd">
              <a:solidFill>
                <a:schemeClr val="accent1"/>
              </a:solidFill>
              <a:round/>
            </a:ln>
            <a:effectLst/>
          </c:spPr>
          <c:marker>
            <c:symbol val="none"/>
          </c:marker>
          <c:cat>
            <c:numRef>
              <c:f>Sheet1!$G$2:$G$16</c:f>
              <c:numCache>
                <c:formatCode>dd/mm/yyyy</c:formatCode>
                <c:ptCount val="15"/>
                <c:pt idx="0">
                  <c:v>45691</c:v>
                </c:pt>
                <c:pt idx="1">
                  <c:v>45693</c:v>
                </c:pt>
                <c:pt idx="2">
                  <c:v>45694</c:v>
                </c:pt>
                <c:pt idx="3">
                  <c:v>45695</c:v>
                </c:pt>
                <c:pt idx="4">
                  <c:v>45697</c:v>
                </c:pt>
                <c:pt idx="5">
                  <c:v>45699</c:v>
                </c:pt>
                <c:pt idx="6">
                  <c:v>45700</c:v>
                </c:pt>
                <c:pt idx="7">
                  <c:v>45702</c:v>
                </c:pt>
                <c:pt idx="8">
                  <c:v>45703</c:v>
                </c:pt>
                <c:pt idx="9">
                  <c:v>45706</c:v>
                </c:pt>
                <c:pt idx="10">
                  <c:v>45708</c:v>
                </c:pt>
                <c:pt idx="11">
                  <c:v>45710</c:v>
                </c:pt>
                <c:pt idx="12">
                  <c:v>45712</c:v>
                </c:pt>
                <c:pt idx="13">
                  <c:v>45714</c:v>
                </c:pt>
                <c:pt idx="14">
                  <c:v>45716</c:v>
                </c:pt>
              </c:numCache>
            </c:numRef>
          </c:cat>
          <c:val>
            <c:numRef>
              <c:f>Sheet1!$H$2:$H$16</c:f>
              <c:numCache>
                <c:formatCode>[$₹-439]#,##0</c:formatCode>
                <c:ptCount val="15"/>
                <c:pt idx="0">
                  <c:v>110000</c:v>
                </c:pt>
                <c:pt idx="1">
                  <c:v>22500</c:v>
                </c:pt>
                <c:pt idx="2">
                  <c:v>15000</c:v>
                </c:pt>
                <c:pt idx="3">
                  <c:v>6600</c:v>
                </c:pt>
                <c:pt idx="4">
                  <c:v>128000</c:v>
                </c:pt>
                <c:pt idx="5">
                  <c:v>18000</c:v>
                </c:pt>
                <c:pt idx="6">
                  <c:v>1600</c:v>
                </c:pt>
                <c:pt idx="7">
                  <c:v>7000</c:v>
                </c:pt>
                <c:pt idx="8">
                  <c:v>2700</c:v>
                </c:pt>
                <c:pt idx="9">
                  <c:v>7192</c:v>
                </c:pt>
                <c:pt idx="10">
                  <c:v>4990</c:v>
                </c:pt>
                <c:pt idx="11">
                  <c:v>1375</c:v>
                </c:pt>
                <c:pt idx="12">
                  <c:v>7200</c:v>
                </c:pt>
                <c:pt idx="13">
                  <c:v>7800</c:v>
                </c:pt>
                <c:pt idx="14">
                  <c:v>1750</c:v>
                </c:pt>
              </c:numCache>
            </c:numRef>
          </c:val>
          <c:smooth val="0"/>
        </c:ser>
        <c:dLbls>
          <c:showLegendKey val="0"/>
          <c:showVal val="0"/>
          <c:showCatName val="0"/>
          <c:showSerName val="0"/>
          <c:showPercent val="0"/>
          <c:showBubbleSize val="0"/>
        </c:dLbls>
        <c:smooth val="0"/>
        <c:axId val="258041952"/>
        <c:axId val="258043912"/>
      </c:lineChart>
      <c:dateAx>
        <c:axId val="258041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 Date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dd/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043912"/>
        <c:crosses val="autoZero"/>
        <c:auto val="1"/>
        <c:lblOffset val="100"/>
        <c:baseTimeUnit val="days"/>
      </c:dateAx>
      <c:valAx>
        <c:axId val="258043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Amount</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041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137160</xdr:rowOff>
    </xdr:from>
    <xdr:to>
      <xdr:col>5</xdr:col>
      <xdr:colOff>518160</xdr:colOff>
      <xdr:row>21</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41</xdr:row>
      <xdr:rowOff>129540</xdr:rowOff>
    </xdr:from>
    <xdr:to>
      <xdr:col>5</xdr:col>
      <xdr:colOff>502920</xdr:colOff>
      <xdr:row>56</xdr:row>
      <xdr:rowOff>41910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78</xdr:row>
      <xdr:rowOff>87630</xdr:rowOff>
    </xdr:from>
    <xdr:to>
      <xdr:col>5</xdr:col>
      <xdr:colOff>571500</xdr:colOff>
      <xdr:row>93</xdr:row>
      <xdr:rowOff>87630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33396</xdr:colOff>
      <xdr:row>7</xdr:row>
      <xdr:rowOff>21450</xdr:rowOff>
    </xdr:from>
    <xdr:to>
      <xdr:col>10</xdr:col>
      <xdr:colOff>27751</xdr:colOff>
      <xdr:row>20</xdr:row>
      <xdr:rowOff>164795</xdr:rowOff>
    </xdr:to>
    <mc:AlternateContent xmlns:mc="http://schemas.openxmlformats.org/markup-compatibility/2006" xmlns:a14="http://schemas.microsoft.com/office/drawing/2010/main">
      <mc:Choice Requires="a14">
        <xdr:graphicFrame macro="">
          <xdr:nvGraphicFramePr>
            <xdr:cNvPr id="5"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301544" y="127263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739140</xdr:colOff>
      <xdr:row>24</xdr:row>
      <xdr:rowOff>64770</xdr:rowOff>
    </xdr:from>
    <xdr:to>
      <xdr:col>7</xdr:col>
      <xdr:colOff>0</xdr:colOff>
      <xdr:row>39</xdr:row>
      <xdr:rowOff>64770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723900</xdr:colOff>
      <xdr:row>40</xdr:row>
      <xdr:rowOff>118110</xdr:rowOff>
    </xdr:from>
    <xdr:to>
      <xdr:col>6</xdr:col>
      <xdr:colOff>693420</xdr:colOff>
      <xdr:row>55</xdr:row>
      <xdr:rowOff>118110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746760</xdr:colOff>
      <xdr:row>56</xdr:row>
      <xdr:rowOff>133350</xdr:rowOff>
    </xdr:from>
    <xdr:to>
      <xdr:col>7</xdr:col>
      <xdr:colOff>7620</xdr:colOff>
      <xdr:row>71</xdr:row>
      <xdr:rowOff>133350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43.882955092595" createdVersion="5" refreshedVersion="5" minRefreshableVersion="3" recordCount="15">
  <cacheSource type="worksheet">
    <worksheetSource ref="A1:I16" sheet="Sheet1"/>
  </cacheSource>
  <cacheFields count="9">
    <cacheField name="emp_id" numFmtId="0">
      <sharedItems/>
    </cacheField>
    <cacheField name="name" numFmtId="0">
      <sharedItems count="10">
        <s v="Aarav"/>
        <s v="Bhavya"/>
        <s v="Chirag"/>
        <s v="Diya"/>
        <s v="Eshan"/>
        <s v="Farah"/>
        <s v="Gaurav"/>
        <s v="Hina"/>
        <s v="Ishan"/>
        <s v="Jiya"/>
      </sharedItems>
    </cacheField>
    <cacheField name="department" numFmtId="0">
      <sharedItems count="3">
        <s v="Electronics"/>
        <s v="Fashion"/>
        <s v="Grocery"/>
      </sharedItems>
    </cacheField>
    <cacheField name="product" numFmtId="0">
      <sharedItems count="15">
        <s v="Laptop"/>
        <s v="Saree"/>
        <s v="Headphones"/>
        <s v="Shoes"/>
        <s v="Smartphone"/>
        <s v="Tablet"/>
        <s v="Rice (Kg)"/>
        <s v="Watch"/>
        <s v="Oil (Litre)"/>
        <s v="Mouse"/>
        <s v="T-Shirt"/>
        <s v="Sugar (Kg)"/>
        <s v="Backpack"/>
        <s v="Charger"/>
        <s v="Tea (gm)"/>
      </sharedItems>
    </cacheField>
    <cacheField name="quantity" numFmtId="0">
      <sharedItems containsSemiMixedTypes="0" containsString="0" containsNumber="1" containsInteger="1" minValue="1" maxValue="25"/>
    </cacheField>
    <cacheField name="unit_price" numFmtId="166">
      <sharedItems containsSemiMixedTypes="0" containsString="0" containsNumber="1" containsInteger="1" minValue="55" maxValue="55000"/>
    </cacheField>
    <cacheField name="sale_date" numFmtId="167">
      <sharedItems containsSemiMixedTypes="0" containsNonDate="0" containsDate="1" containsString="0" minDate="2025-02-03T00:00:00" maxDate="2025-03-01T00:00:00"/>
    </cacheField>
    <cacheField name="total_amount" numFmtId="166">
      <sharedItems containsSemiMixedTypes="0" containsString="0" containsNumber="1" containsInteger="1" minValue="1375" maxValue="128000"/>
    </cacheField>
    <cacheField name="Bonu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
  <r>
    <s v="E01"/>
    <x v="0"/>
    <x v="0"/>
    <x v="0"/>
    <n v="2"/>
    <n v="55000"/>
    <d v="2025-02-03T00:00:00"/>
    <n v="110000"/>
    <s v="High"/>
  </r>
  <r>
    <s v="E02"/>
    <x v="1"/>
    <x v="1"/>
    <x v="1"/>
    <n v="5"/>
    <n v="4500"/>
    <d v="2025-02-05T00:00:00"/>
    <n v="22500"/>
    <s v="Normal"/>
  </r>
  <r>
    <s v="E03"/>
    <x v="2"/>
    <x v="0"/>
    <x v="2"/>
    <n v="10"/>
    <n v="1500"/>
    <d v="2025-02-06T00:00:00"/>
    <n v="15000"/>
    <s v="Normal"/>
  </r>
  <r>
    <s v="E04"/>
    <x v="3"/>
    <x v="1"/>
    <x v="3"/>
    <n v="3"/>
    <n v="2200"/>
    <d v="2025-02-07T00:00:00"/>
    <n v="6600"/>
    <s v="Normal"/>
  </r>
  <r>
    <s v="E05"/>
    <x v="4"/>
    <x v="0"/>
    <x v="4"/>
    <n v="4"/>
    <n v="32000"/>
    <d v="2025-02-09T00:00:00"/>
    <n v="128000"/>
    <s v="High"/>
  </r>
  <r>
    <s v="E01"/>
    <x v="0"/>
    <x v="0"/>
    <x v="5"/>
    <n v="1"/>
    <n v="18000"/>
    <d v="2025-02-11T00:00:00"/>
    <n v="18000"/>
    <s v="Normal"/>
  </r>
  <r>
    <s v="E06"/>
    <x v="5"/>
    <x v="2"/>
    <x v="6"/>
    <n v="20"/>
    <n v="80"/>
    <d v="2025-02-12T00:00:00"/>
    <n v="1600"/>
    <s v="Normal"/>
  </r>
  <r>
    <s v="E07"/>
    <x v="6"/>
    <x v="1"/>
    <x v="7"/>
    <n v="2"/>
    <n v="3500"/>
    <d v="2025-02-14T00:00:00"/>
    <n v="7000"/>
    <s v="Normal"/>
  </r>
  <r>
    <s v="E08"/>
    <x v="7"/>
    <x v="2"/>
    <x v="8"/>
    <n v="15"/>
    <n v="180"/>
    <d v="2025-02-15T00:00:00"/>
    <n v="2700"/>
    <s v="Normal"/>
  </r>
  <r>
    <s v="E03"/>
    <x v="2"/>
    <x v="0"/>
    <x v="9"/>
    <n v="8"/>
    <n v="899"/>
    <d v="2025-02-18T00:00:00"/>
    <n v="7192"/>
    <s v="Normal"/>
  </r>
  <r>
    <s v="E02"/>
    <x v="1"/>
    <x v="1"/>
    <x v="10"/>
    <n v="10"/>
    <n v="499"/>
    <d v="2025-02-20T00:00:00"/>
    <n v="4990"/>
    <s v="Normal"/>
  </r>
  <r>
    <s v="E09"/>
    <x v="8"/>
    <x v="2"/>
    <x v="11"/>
    <n v="25"/>
    <n v="55"/>
    <d v="2025-02-22T00:00:00"/>
    <n v="1375"/>
    <s v="Normal"/>
  </r>
  <r>
    <s v="E04"/>
    <x v="3"/>
    <x v="1"/>
    <x v="12"/>
    <n v="4"/>
    <n v="1800"/>
    <d v="2025-02-24T00:00:00"/>
    <n v="7200"/>
    <s v="Normal"/>
  </r>
  <r>
    <s v="E05"/>
    <x v="4"/>
    <x v="0"/>
    <x v="13"/>
    <n v="12"/>
    <n v="650"/>
    <d v="2025-02-26T00:00:00"/>
    <n v="7800"/>
    <s v="Normal"/>
  </r>
  <r>
    <s v="E10"/>
    <x v="9"/>
    <x v="2"/>
    <x v="14"/>
    <n v="5"/>
    <n v="350"/>
    <d v="2025-02-28T00:00:00"/>
    <n v="1750"/>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rowHeaderCaption="Department">
  <location ref="A3:B7" firstHeaderRow="1" firstDataRow="1" firstDataCol="1"/>
  <pivotFields count="9">
    <pivotField showAll="0"/>
    <pivotField showAll="0"/>
    <pivotField axis="axisRow" showAll="0">
      <items count="4">
        <item x="0"/>
        <item x="1"/>
        <item x="2"/>
        <item t="default"/>
      </items>
    </pivotField>
    <pivotField showAll="0"/>
    <pivotField showAll="0"/>
    <pivotField numFmtId="166" showAll="0"/>
    <pivotField numFmtId="167" showAll="0"/>
    <pivotField dataField="1" numFmtId="166" showAll="0"/>
    <pivotField showAll="0"/>
  </pivotFields>
  <rowFields count="1">
    <field x="2"/>
  </rowFields>
  <rowItems count="4">
    <i>
      <x/>
    </i>
    <i>
      <x v="1"/>
    </i>
    <i>
      <x v="2"/>
    </i>
    <i t="grand">
      <x/>
    </i>
  </rowItems>
  <colItems count="1">
    <i/>
  </colItems>
  <dataFields count="1">
    <dataField name="Sum of total_amount"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60:E77" firstHeaderRow="1" firstDataRow="2" firstDataCol="1"/>
  <pivotFields count="9">
    <pivotField showAll="0"/>
    <pivotField showAll="0"/>
    <pivotField axis="axisCol" showAll="0">
      <items count="4">
        <item x="0"/>
        <item x="1"/>
        <item x="2"/>
        <item t="default"/>
      </items>
    </pivotField>
    <pivotField axis="axisRow" showAll="0">
      <items count="16">
        <item x="12"/>
        <item x="13"/>
        <item x="2"/>
        <item x="0"/>
        <item x="9"/>
        <item x="8"/>
        <item x="6"/>
        <item x="1"/>
        <item x="3"/>
        <item x="4"/>
        <item x="11"/>
        <item x="5"/>
        <item x="14"/>
        <item x="10"/>
        <item x="7"/>
        <item t="default"/>
      </items>
    </pivotField>
    <pivotField dataField="1" showAll="0"/>
    <pivotField numFmtId="166" showAll="0"/>
    <pivotField numFmtId="167" showAll="0"/>
    <pivotField numFmtId="166" showAll="0"/>
    <pivotField showAll="0"/>
  </pivotFields>
  <rowFields count="1">
    <field x="3"/>
  </rowFields>
  <rowItems count="16">
    <i>
      <x/>
    </i>
    <i>
      <x v="1"/>
    </i>
    <i>
      <x v="2"/>
    </i>
    <i>
      <x v="3"/>
    </i>
    <i>
      <x v="4"/>
    </i>
    <i>
      <x v="5"/>
    </i>
    <i>
      <x v="6"/>
    </i>
    <i>
      <x v="7"/>
    </i>
    <i>
      <x v="8"/>
    </i>
    <i>
      <x v="9"/>
    </i>
    <i>
      <x v="10"/>
    </i>
    <i>
      <x v="11"/>
    </i>
    <i>
      <x v="12"/>
    </i>
    <i>
      <x v="13"/>
    </i>
    <i>
      <x v="14"/>
    </i>
    <i t="grand">
      <x/>
    </i>
  </rowItems>
  <colFields count="1">
    <field x="2"/>
  </colFields>
  <colItems count="4">
    <i>
      <x/>
    </i>
    <i>
      <x v="1"/>
    </i>
    <i>
      <x v="2"/>
    </i>
    <i t="grand">
      <x/>
    </i>
  </colItems>
  <dataFields count="1">
    <dataField name="Sum of quantity" fld="4" baseField="0" baseItem="0"/>
  </dataField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26:B40" firstHeaderRow="1" firstDataRow="1" firstDataCol="1"/>
  <pivotFields count="9">
    <pivotField showAll="0"/>
    <pivotField axis="axisRow" showAll="0">
      <items count="11">
        <item x="0"/>
        <item x="1"/>
        <item x="2"/>
        <item x="3"/>
        <item x="4"/>
        <item x="5"/>
        <item x="6"/>
        <item x="7"/>
        <item x="8"/>
        <item x="9"/>
        <item t="default"/>
      </items>
    </pivotField>
    <pivotField axis="axisRow" showAll="0">
      <items count="4">
        <item x="0"/>
        <item x="1"/>
        <item x="2"/>
        <item t="default"/>
      </items>
    </pivotField>
    <pivotField showAll="0"/>
    <pivotField showAll="0"/>
    <pivotField numFmtId="166" showAll="0"/>
    <pivotField numFmtId="167" showAll="0"/>
    <pivotField dataField="1" numFmtId="166" showAll="0"/>
    <pivotField showAll="0"/>
  </pivotFields>
  <rowFields count="2">
    <field x="2"/>
    <field x="1"/>
  </rowFields>
  <rowItems count="14">
    <i>
      <x/>
    </i>
    <i r="1">
      <x/>
    </i>
    <i r="1">
      <x v="2"/>
    </i>
    <i r="1">
      <x v="4"/>
    </i>
    <i>
      <x v="1"/>
    </i>
    <i r="1">
      <x v="1"/>
    </i>
    <i r="1">
      <x v="3"/>
    </i>
    <i r="1">
      <x v="6"/>
    </i>
    <i>
      <x v="2"/>
    </i>
    <i r="1">
      <x v="5"/>
    </i>
    <i r="1">
      <x v="7"/>
    </i>
    <i r="1">
      <x v="8"/>
    </i>
    <i r="1">
      <x v="9"/>
    </i>
    <i t="grand">
      <x/>
    </i>
  </rowItems>
  <colItems count="1">
    <i/>
  </colItems>
  <dataFields count="1">
    <dataField name="Sum of total_amount" fld="7" baseField="0" baseItem="0" numFmtId="166"/>
  </dataFields>
  <formats count="2">
    <format dxfId="1">
      <pivotArea outline="0" collapsedLevelsAreSubtotals="1"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20"/>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7"/>
  <sheetViews>
    <sheetView topLeftCell="A37" zoomScale="81" zoomScaleNormal="81" workbookViewId="0">
      <selection activeCell="I6" sqref="I6"/>
    </sheetView>
  </sheetViews>
  <sheetFormatPr defaultRowHeight="14.4" x14ac:dyDescent="0.3"/>
  <cols>
    <col min="1" max="1" width="14" customWidth="1"/>
    <col min="2" max="2" width="19.21875" bestFit="1" customWidth="1"/>
    <col min="3" max="3" width="7.44140625" bestFit="1" customWidth="1"/>
    <col min="4" max="4" width="7.5546875" bestFit="1" customWidth="1"/>
    <col min="5" max="5" width="10.77734375" bestFit="1" customWidth="1"/>
  </cols>
  <sheetData>
    <row r="1" spans="1:8" x14ac:dyDescent="0.3">
      <c r="A1" s="3" t="s">
        <v>60</v>
      </c>
    </row>
    <row r="3" spans="1:8" x14ac:dyDescent="0.3">
      <c r="A3" s="19" t="s">
        <v>57</v>
      </c>
      <c r="B3" t="s">
        <v>55</v>
      </c>
    </row>
    <row r="4" spans="1:8" x14ac:dyDescent="0.3">
      <c r="A4" s="20" t="s">
        <v>27</v>
      </c>
      <c r="B4" s="18">
        <v>285992</v>
      </c>
    </row>
    <row r="5" spans="1:8" x14ac:dyDescent="0.3">
      <c r="A5" s="20" t="s">
        <v>28</v>
      </c>
      <c r="B5" s="18">
        <v>48290</v>
      </c>
    </row>
    <row r="6" spans="1:8" x14ac:dyDescent="0.3">
      <c r="A6" s="20" t="s">
        <v>29</v>
      </c>
      <c r="B6" s="18">
        <v>7425</v>
      </c>
      <c r="H6" s="3" t="s">
        <v>63</v>
      </c>
    </row>
    <row r="7" spans="1:8" x14ac:dyDescent="0.3">
      <c r="A7" s="20" t="s">
        <v>35</v>
      </c>
      <c r="B7" s="18">
        <v>341707</v>
      </c>
    </row>
    <row r="9" spans="1:8" x14ac:dyDescent="0.3">
      <c r="A9" s="22"/>
    </row>
    <row r="24" spans="1:2" x14ac:dyDescent="0.3">
      <c r="A24" s="3" t="s">
        <v>61</v>
      </c>
    </row>
    <row r="26" spans="1:2" x14ac:dyDescent="0.3">
      <c r="A26" s="19" t="s">
        <v>34</v>
      </c>
      <c r="B26" s="16" t="s">
        <v>55</v>
      </c>
    </row>
    <row r="27" spans="1:2" x14ac:dyDescent="0.3">
      <c r="A27" s="20" t="s">
        <v>27</v>
      </c>
      <c r="B27" s="16">
        <v>285992</v>
      </c>
    </row>
    <row r="28" spans="1:2" x14ac:dyDescent="0.3">
      <c r="A28" s="21" t="s">
        <v>17</v>
      </c>
      <c r="B28" s="16">
        <v>128000</v>
      </c>
    </row>
    <row r="29" spans="1:2" x14ac:dyDescent="0.3">
      <c r="A29" s="21" t="s">
        <v>19</v>
      </c>
      <c r="B29" s="16">
        <v>22192</v>
      </c>
    </row>
    <row r="30" spans="1:2" x14ac:dyDescent="0.3">
      <c r="A30" s="21" t="s">
        <v>21</v>
      </c>
      <c r="B30" s="16">
        <v>135800</v>
      </c>
    </row>
    <row r="31" spans="1:2" x14ac:dyDescent="0.3">
      <c r="A31" s="20" t="s">
        <v>28</v>
      </c>
      <c r="B31" s="16">
        <v>48290</v>
      </c>
    </row>
    <row r="32" spans="1:2" x14ac:dyDescent="0.3">
      <c r="A32" s="21" t="s">
        <v>18</v>
      </c>
      <c r="B32" s="16">
        <v>27490</v>
      </c>
    </row>
    <row r="33" spans="1:2" x14ac:dyDescent="0.3">
      <c r="A33" s="21" t="s">
        <v>20</v>
      </c>
      <c r="B33" s="16">
        <v>13800</v>
      </c>
    </row>
    <row r="34" spans="1:2" x14ac:dyDescent="0.3">
      <c r="A34" s="21" t="s">
        <v>23</v>
      </c>
      <c r="B34" s="16">
        <v>7000</v>
      </c>
    </row>
    <row r="35" spans="1:2" x14ac:dyDescent="0.3">
      <c r="A35" s="20" t="s">
        <v>29</v>
      </c>
      <c r="B35" s="16">
        <v>7425</v>
      </c>
    </row>
    <row r="36" spans="1:2" x14ac:dyDescent="0.3">
      <c r="A36" s="21" t="s">
        <v>22</v>
      </c>
      <c r="B36" s="16">
        <v>1600</v>
      </c>
    </row>
    <row r="37" spans="1:2" x14ac:dyDescent="0.3">
      <c r="A37" s="21" t="s">
        <v>24</v>
      </c>
      <c r="B37" s="16">
        <v>2700</v>
      </c>
    </row>
    <row r="38" spans="1:2" x14ac:dyDescent="0.3">
      <c r="A38" s="21" t="s">
        <v>25</v>
      </c>
      <c r="B38" s="16">
        <v>1375</v>
      </c>
    </row>
    <row r="39" spans="1:2" x14ac:dyDescent="0.3">
      <c r="A39" s="21" t="s">
        <v>26</v>
      </c>
      <c r="B39" s="16">
        <v>1750</v>
      </c>
    </row>
    <row r="40" spans="1:2" x14ac:dyDescent="0.3">
      <c r="A40" s="20" t="s">
        <v>35</v>
      </c>
      <c r="B40" s="16">
        <v>341707</v>
      </c>
    </row>
    <row r="58" spans="1:5" x14ac:dyDescent="0.3">
      <c r="A58" s="23" t="s">
        <v>62</v>
      </c>
    </row>
    <row r="60" spans="1:5" x14ac:dyDescent="0.3">
      <c r="A60" s="19" t="s">
        <v>56</v>
      </c>
      <c r="B60" s="19" t="s">
        <v>59</v>
      </c>
    </row>
    <row r="61" spans="1:5" x14ac:dyDescent="0.3">
      <c r="A61" s="19" t="s">
        <v>34</v>
      </c>
      <c r="B61" t="s">
        <v>27</v>
      </c>
      <c r="C61" t="s">
        <v>28</v>
      </c>
      <c r="D61" t="s">
        <v>29</v>
      </c>
      <c r="E61" t="s">
        <v>35</v>
      </c>
    </row>
    <row r="62" spans="1:5" x14ac:dyDescent="0.3">
      <c r="A62" s="20" t="s">
        <v>44</v>
      </c>
      <c r="B62" s="18"/>
      <c r="C62" s="18">
        <v>4</v>
      </c>
      <c r="D62" s="18"/>
      <c r="E62" s="18">
        <v>4</v>
      </c>
    </row>
    <row r="63" spans="1:5" x14ac:dyDescent="0.3">
      <c r="A63" s="20" t="s">
        <v>45</v>
      </c>
      <c r="B63" s="18">
        <v>12</v>
      </c>
      <c r="C63" s="18"/>
      <c r="D63" s="18"/>
      <c r="E63" s="18">
        <v>12</v>
      </c>
    </row>
    <row r="64" spans="1:5" x14ac:dyDescent="0.3">
      <c r="A64" s="20" t="s">
        <v>32</v>
      </c>
      <c r="B64" s="18">
        <v>10</v>
      </c>
      <c r="C64" s="18"/>
      <c r="D64" s="18"/>
      <c r="E64" s="18">
        <v>10</v>
      </c>
    </row>
    <row r="65" spans="1:5" x14ac:dyDescent="0.3">
      <c r="A65" s="20" t="s">
        <v>30</v>
      </c>
      <c r="B65" s="18">
        <v>2</v>
      </c>
      <c r="C65" s="18"/>
      <c r="D65" s="18"/>
      <c r="E65" s="18">
        <v>2</v>
      </c>
    </row>
    <row r="66" spans="1:5" x14ac:dyDescent="0.3">
      <c r="A66" s="20" t="s">
        <v>41</v>
      </c>
      <c r="B66" s="18">
        <v>8</v>
      </c>
      <c r="C66" s="18"/>
      <c r="D66" s="18"/>
      <c r="E66" s="18">
        <v>8</v>
      </c>
    </row>
    <row r="67" spans="1:5" x14ac:dyDescent="0.3">
      <c r="A67" s="20" t="s">
        <v>40</v>
      </c>
      <c r="B67" s="18"/>
      <c r="C67" s="18"/>
      <c r="D67" s="18">
        <v>15</v>
      </c>
      <c r="E67" s="18">
        <v>15</v>
      </c>
    </row>
    <row r="68" spans="1:5" x14ac:dyDescent="0.3">
      <c r="A68" s="20" t="s">
        <v>38</v>
      </c>
      <c r="B68" s="18"/>
      <c r="C68" s="18"/>
      <c r="D68" s="18">
        <v>20</v>
      </c>
      <c r="E68" s="18">
        <v>20</v>
      </c>
    </row>
    <row r="69" spans="1:5" x14ac:dyDescent="0.3">
      <c r="A69" s="20" t="s">
        <v>31</v>
      </c>
      <c r="B69" s="18"/>
      <c r="C69" s="18">
        <v>5</v>
      </c>
      <c r="D69" s="18"/>
      <c r="E69" s="18">
        <v>5</v>
      </c>
    </row>
    <row r="70" spans="1:5" x14ac:dyDescent="0.3">
      <c r="A70" s="20" t="s">
        <v>33</v>
      </c>
      <c r="B70" s="18"/>
      <c r="C70" s="18">
        <v>3</v>
      </c>
      <c r="D70" s="18"/>
      <c r="E70" s="18">
        <v>3</v>
      </c>
    </row>
    <row r="71" spans="1:5" x14ac:dyDescent="0.3">
      <c r="A71" s="20" t="s">
        <v>36</v>
      </c>
      <c r="B71" s="18">
        <v>4</v>
      </c>
      <c r="C71" s="18"/>
      <c r="D71" s="18"/>
      <c r="E71" s="18">
        <v>4</v>
      </c>
    </row>
    <row r="72" spans="1:5" x14ac:dyDescent="0.3">
      <c r="A72" s="20" t="s">
        <v>43</v>
      </c>
      <c r="B72" s="18"/>
      <c r="C72" s="18"/>
      <c r="D72" s="18">
        <v>25</v>
      </c>
      <c r="E72" s="18">
        <v>25</v>
      </c>
    </row>
    <row r="73" spans="1:5" x14ac:dyDescent="0.3">
      <c r="A73" s="20" t="s">
        <v>37</v>
      </c>
      <c r="B73" s="18">
        <v>1</v>
      </c>
      <c r="C73" s="18"/>
      <c r="D73" s="18"/>
      <c r="E73" s="18">
        <v>1</v>
      </c>
    </row>
    <row r="74" spans="1:5" x14ac:dyDescent="0.3">
      <c r="A74" s="20" t="s">
        <v>46</v>
      </c>
      <c r="B74" s="18"/>
      <c r="C74" s="18"/>
      <c r="D74" s="18">
        <v>5</v>
      </c>
      <c r="E74" s="18">
        <v>5</v>
      </c>
    </row>
    <row r="75" spans="1:5" x14ac:dyDescent="0.3">
      <c r="A75" s="20" t="s">
        <v>42</v>
      </c>
      <c r="B75" s="18"/>
      <c r="C75" s="18">
        <v>10</v>
      </c>
      <c r="D75" s="18"/>
      <c r="E75" s="18">
        <v>10</v>
      </c>
    </row>
    <row r="76" spans="1:5" x14ac:dyDescent="0.3">
      <c r="A76" s="20" t="s">
        <v>39</v>
      </c>
      <c r="B76" s="18"/>
      <c r="C76" s="18">
        <v>2</v>
      </c>
      <c r="D76" s="18"/>
      <c r="E76" s="18">
        <v>2</v>
      </c>
    </row>
    <row r="77" spans="1:5" x14ac:dyDescent="0.3">
      <c r="A77" s="20" t="s">
        <v>35</v>
      </c>
      <c r="B77" s="18">
        <v>37</v>
      </c>
      <c r="C77" s="18">
        <v>24</v>
      </c>
      <c r="D77" s="18">
        <v>65</v>
      </c>
      <c r="E77" s="18">
        <v>126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L23"/>
  <sheetViews>
    <sheetView tabSelected="1" topLeftCell="A43" zoomScale="82" zoomScaleNormal="82" workbookViewId="0">
      <selection activeCell="G21" sqref="G21"/>
    </sheetView>
  </sheetViews>
  <sheetFormatPr defaultRowHeight="14.4" x14ac:dyDescent="0.3"/>
  <cols>
    <col min="1" max="1" width="19" customWidth="1"/>
    <col min="2" max="2" width="8.44140625" customWidth="1"/>
    <col min="3" max="3" width="11" customWidth="1"/>
    <col min="4" max="4" width="11.109375" bestFit="1" customWidth="1"/>
    <col min="5" max="5" width="8.109375" customWidth="1"/>
    <col min="6" max="6" width="9.44140625" customWidth="1"/>
    <col min="7" max="7" width="10.33203125" style="5" bestFit="1" customWidth="1"/>
    <col min="8" max="8" width="12.5546875" bestFit="1" customWidth="1"/>
    <col min="11" max="11" width="10.77734375" bestFit="1" customWidth="1"/>
    <col min="12" max="12" width="12.6640625" bestFit="1" customWidth="1"/>
  </cols>
  <sheetData>
    <row r="1" spans="1:12" s="6" customFormat="1" x14ac:dyDescent="0.3">
      <c r="A1" s="7" t="s">
        <v>0</v>
      </c>
      <c r="B1" s="7" t="s">
        <v>1</v>
      </c>
      <c r="C1" s="7" t="s">
        <v>2</v>
      </c>
      <c r="D1" s="7" t="s">
        <v>3</v>
      </c>
      <c r="E1" s="7" t="s">
        <v>4</v>
      </c>
      <c r="F1" s="8" t="s">
        <v>5</v>
      </c>
      <c r="G1" s="9" t="s">
        <v>6</v>
      </c>
      <c r="H1" s="17" t="s">
        <v>47</v>
      </c>
      <c r="I1" s="17" t="s">
        <v>54</v>
      </c>
      <c r="K1" s="6" t="s">
        <v>57</v>
      </c>
      <c r="L1" s="1" t="s">
        <v>58</v>
      </c>
    </row>
    <row r="2" spans="1:12" x14ac:dyDescent="0.3">
      <c r="A2" s="10" t="s">
        <v>7</v>
      </c>
      <c r="B2" s="10" t="s">
        <v>17</v>
      </c>
      <c r="C2" s="10" t="s">
        <v>27</v>
      </c>
      <c r="D2" s="10" t="s">
        <v>30</v>
      </c>
      <c r="E2" s="10">
        <v>2</v>
      </c>
      <c r="F2" s="11">
        <v>55000</v>
      </c>
      <c r="G2" s="12">
        <v>45691</v>
      </c>
      <c r="H2" s="14">
        <f>E2*F2</f>
        <v>110000</v>
      </c>
      <c r="I2" s="13" t="str">
        <f>IF(H2&gt;50000,"High","Normal")</f>
        <v>High</v>
      </c>
      <c r="K2" t="s">
        <v>27</v>
      </c>
      <c r="L2">
        <f>SUMIF(C2:C16,K2,H2:H16)</f>
        <v>285992</v>
      </c>
    </row>
    <row r="3" spans="1:12" x14ac:dyDescent="0.3">
      <c r="A3" s="10" t="s">
        <v>8</v>
      </c>
      <c r="B3" s="10" t="s">
        <v>18</v>
      </c>
      <c r="C3" s="10" t="s">
        <v>28</v>
      </c>
      <c r="D3" s="10" t="s">
        <v>31</v>
      </c>
      <c r="E3" s="10">
        <v>5</v>
      </c>
      <c r="F3" s="11">
        <v>4500</v>
      </c>
      <c r="G3" s="12">
        <v>45693</v>
      </c>
      <c r="H3" s="14">
        <f>E3*F3</f>
        <v>22500</v>
      </c>
      <c r="I3" s="13" t="str">
        <f t="shared" ref="I3:I16" si="0">IF(H3&gt;50000,"High","Normal")</f>
        <v>Normal</v>
      </c>
      <c r="K3" t="s">
        <v>28</v>
      </c>
      <c r="L3">
        <f t="shared" ref="L3:L4" si="1">SUMIF(C3:C17,K3,H3:H17)</f>
        <v>48290</v>
      </c>
    </row>
    <row r="4" spans="1:12" x14ac:dyDescent="0.3">
      <c r="A4" s="10" t="s">
        <v>9</v>
      </c>
      <c r="B4" s="10" t="s">
        <v>19</v>
      </c>
      <c r="C4" s="10" t="s">
        <v>27</v>
      </c>
      <c r="D4" s="10" t="s">
        <v>32</v>
      </c>
      <c r="E4" s="10">
        <v>10</v>
      </c>
      <c r="F4" s="11">
        <v>1500</v>
      </c>
      <c r="G4" s="12">
        <v>45694</v>
      </c>
      <c r="H4" s="14">
        <f t="shared" ref="H4:H16" si="2">E4*F4</f>
        <v>15000</v>
      </c>
      <c r="I4" s="13" t="str">
        <f t="shared" si="0"/>
        <v>Normal</v>
      </c>
      <c r="K4" t="s">
        <v>29</v>
      </c>
      <c r="L4">
        <f t="shared" si="1"/>
        <v>7425</v>
      </c>
    </row>
    <row r="5" spans="1:12" x14ac:dyDescent="0.3">
      <c r="A5" s="10" t="s">
        <v>10</v>
      </c>
      <c r="B5" s="10" t="s">
        <v>20</v>
      </c>
      <c r="C5" s="10" t="s">
        <v>28</v>
      </c>
      <c r="D5" s="10" t="s">
        <v>33</v>
      </c>
      <c r="E5" s="10">
        <v>3</v>
      </c>
      <c r="F5" s="11">
        <v>2200</v>
      </c>
      <c r="G5" s="12">
        <v>45695</v>
      </c>
      <c r="H5" s="14">
        <f t="shared" si="2"/>
        <v>6600</v>
      </c>
      <c r="I5" s="13" t="str">
        <f t="shared" si="0"/>
        <v>Normal</v>
      </c>
    </row>
    <row r="6" spans="1:12" x14ac:dyDescent="0.3">
      <c r="A6" s="10" t="s">
        <v>11</v>
      </c>
      <c r="B6" s="10" t="s">
        <v>21</v>
      </c>
      <c r="C6" s="10" t="s">
        <v>27</v>
      </c>
      <c r="D6" s="10" t="s">
        <v>36</v>
      </c>
      <c r="E6" s="10">
        <v>4</v>
      </c>
      <c r="F6" s="11">
        <v>32000</v>
      </c>
      <c r="G6" s="12">
        <v>45697</v>
      </c>
      <c r="H6" s="14">
        <f t="shared" si="2"/>
        <v>128000</v>
      </c>
      <c r="I6" s="13" t="str">
        <f t="shared" si="0"/>
        <v>High</v>
      </c>
    </row>
    <row r="7" spans="1:12" x14ac:dyDescent="0.3">
      <c r="A7" s="10" t="s">
        <v>7</v>
      </c>
      <c r="B7" s="10" t="s">
        <v>17</v>
      </c>
      <c r="C7" s="10" t="s">
        <v>27</v>
      </c>
      <c r="D7" s="10" t="s">
        <v>37</v>
      </c>
      <c r="E7" s="10">
        <v>1</v>
      </c>
      <c r="F7" s="11">
        <v>18000</v>
      </c>
      <c r="G7" s="12">
        <v>45699</v>
      </c>
      <c r="H7" s="14">
        <f t="shared" si="2"/>
        <v>18000</v>
      </c>
      <c r="I7" s="13" t="str">
        <f t="shared" si="0"/>
        <v>Normal</v>
      </c>
    </row>
    <row r="8" spans="1:12" x14ac:dyDescent="0.3">
      <c r="A8" s="10" t="s">
        <v>12</v>
      </c>
      <c r="B8" s="10" t="s">
        <v>22</v>
      </c>
      <c r="C8" s="10" t="s">
        <v>29</v>
      </c>
      <c r="D8" s="10" t="s">
        <v>38</v>
      </c>
      <c r="E8" s="10">
        <v>20</v>
      </c>
      <c r="F8" s="11">
        <v>80</v>
      </c>
      <c r="G8" s="12">
        <v>45700</v>
      </c>
      <c r="H8" s="14">
        <f t="shared" si="2"/>
        <v>1600</v>
      </c>
      <c r="I8" s="13" t="str">
        <f t="shared" si="0"/>
        <v>Normal</v>
      </c>
    </row>
    <row r="9" spans="1:12" x14ac:dyDescent="0.3">
      <c r="A9" s="10" t="s">
        <v>13</v>
      </c>
      <c r="B9" s="10" t="s">
        <v>23</v>
      </c>
      <c r="C9" s="10" t="s">
        <v>28</v>
      </c>
      <c r="D9" s="10" t="s">
        <v>39</v>
      </c>
      <c r="E9" s="10">
        <v>2</v>
      </c>
      <c r="F9" s="11">
        <v>3500</v>
      </c>
      <c r="G9" s="12">
        <v>45702</v>
      </c>
      <c r="H9" s="14">
        <f t="shared" si="2"/>
        <v>7000</v>
      </c>
      <c r="I9" s="13" t="str">
        <f t="shared" si="0"/>
        <v>Normal</v>
      </c>
    </row>
    <row r="10" spans="1:12" x14ac:dyDescent="0.3">
      <c r="A10" s="10" t="s">
        <v>14</v>
      </c>
      <c r="B10" s="10" t="s">
        <v>24</v>
      </c>
      <c r="C10" s="10" t="s">
        <v>29</v>
      </c>
      <c r="D10" s="10" t="s">
        <v>40</v>
      </c>
      <c r="E10" s="10">
        <v>15</v>
      </c>
      <c r="F10" s="11">
        <v>180</v>
      </c>
      <c r="G10" s="12">
        <v>45703</v>
      </c>
      <c r="H10" s="14">
        <f t="shared" si="2"/>
        <v>2700</v>
      </c>
      <c r="I10" s="13" t="str">
        <f t="shared" si="0"/>
        <v>Normal</v>
      </c>
    </row>
    <row r="11" spans="1:12" x14ac:dyDescent="0.3">
      <c r="A11" s="10" t="s">
        <v>9</v>
      </c>
      <c r="B11" s="10" t="s">
        <v>19</v>
      </c>
      <c r="C11" s="10" t="s">
        <v>27</v>
      </c>
      <c r="D11" s="10" t="s">
        <v>41</v>
      </c>
      <c r="E11" s="10">
        <v>8</v>
      </c>
      <c r="F11" s="11">
        <v>899</v>
      </c>
      <c r="G11" s="12">
        <v>45706</v>
      </c>
      <c r="H11" s="14">
        <f t="shared" si="2"/>
        <v>7192</v>
      </c>
      <c r="I11" s="13" t="str">
        <f t="shared" si="0"/>
        <v>Normal</v>
      </c>
    </row>
    <row r="12" spans="1:12" x14ac:dyDescent="0.3">
      <c r="A12" s="10" t="s">
        <v>8</v>
      </c>
      <c r="B12" s="10" t="s">
        <v>18</v>
      </c>
      <c r="C12" s="10" t="s">
        <v>28</v>
      </c>
      <c r="D12" s="10" t="s">
        <v>42</v>
      </c>
      <c r="E12" s="10">
        <v>10</v>
      </c>
      <c r="F12" s="11">
        <v>499</v>
      </c>
      <c r="G12" s="12">
        <v>45708</v>
      </c>
      <c r="H12" s="14">
        <f t="shared" si="2"/>
        <v>4990</v>
      </c>
      <c r="I12" s="13" t="str">
        <f t="shared" si="0"/>
        <v>Normal</v>
      </c>
    </row>
    <row r="13" spans="1:12" x14ac:dyDescent="0.3">
      <c r="A13" s="10" t="s">
        <v>15</v>
      </c>
      <c r="B13" s="10" t="s">
        <v>25</v>
      </c>
      <c r="C13" s="10" t="s">
        <v>29</v>
      </c>
      <c r="D13" s="10" t="s">
        <v>43</v>
      </c>
      <c r="E13" s="10">
        <v>25</v>
      </c>
      <c r="F13" s="11">
        <v>55</v>
      </c>
      <c r="G13" s="12">
        <v>45710</v>
      </c>
      <c r="H13" s="14">
        <f t="shared" si="2"/>
        <v>1375</v>
      </c>
      <c r="I13" s="13" t="str">
        <f t="shared" si="0"/>
        <v>Normal</v>
      </c>
    </row>
    <row r="14" spans="1:12" x14ac:dyDescent="0.3">
      <c r="A14" s="10" t="s">
        <v>10</v>
      </c>
      <c r="B14" s="10" t="s">
        <v>20</v>
      </c>
      <c r="C14" s="10" t="s">
        <v>28</v>
      </c>
      <c r="D14" s="10" t="s">
        <v>44</v>
      </c>
      <c r="E14" s="10">
        <v>4</v>
      </c>
      <c r="F14" s="11">
        <v>1800</v>
      </c>
      <c r="G14" s="12">
        <v>45712</v>
      </c>
      <c r="H14" s="14">
        <f t="shared" si="2"/>
        <v>7200</v>
      </c>
      <c r="I14" s="13" t="str">
        <f t="shared" si="0"/>
        <v>Normal</v>
      </c>
    </row>
    <row r="15" spans="1:12" x14ac:dyDescent="0.3">
      <c r="A15" s="10" t="s">
        <v>11</v>
      </c>
      <c r="B15" s="10" t="s">
        <v>21</v>
      </c>
      <c r="C15" s="10" t="s">
        <v>27</v>
      </c>
      <c r="D15" s="10" t="s">
        <v>45</v>
      </c>
      <c r="E15" s="10">
        <v>12</v>
      </c>
      <c r="F15" s="11">
        <v>650</v>
      </c>
      <c r="G15" s="12">
        <v>45714</v>
      </c>
      <c r="H15" s="14">
        <f t="shared" si="2"/>
        <v>7800</v>
      </c>
      <c r="I15" s="13" t="str">
        <f t="shared" si="0"/>
        <v>Normal</v>
      </c>
    </row>
    <row r="16" spans="1:12" x14ac:dyDescent="0.3">
      <c r="A16" s="10" t="s">
        <v>16</v>
      </c>
      <c r="B16" s="10" t="s">
        <v>26</v>
      </c>
      <c r="C16" s="10" t="s">
        <v>29</v>
      </c>
      <c r="D16" s="10" t="s">
        <v>46</v>
      </c>
      <c r="E16" s="10">
        <v>5</v>
      </c>
      <c r="F16" s="11">
        <v>350</v>
      </c>
      <c r="G16" s="12">
        <v>45716</v>
      </c>
      <c r="H16" s="14">
        <f t="shared" si="2"/>
        <v>1750</v>
      </c>
      <c r="I16" s="13" t="str">
        <f t="shared" si="0"/>
        <v>Normal</v>
      </c>
    </row>
    <row r="17" spans="1:7" x14ac:dyDescent="0.3">
      <c r="A17" s="2"/>
      <c r="B17" s="2"/>
      <c r="C17" s="2"/>
      <c r="D17" s="2"/>
      <c r="E17" s="2"/>
      <c r="F17" s="2"/>
      <c r="G17" s="4"/>
    </row>
    <row r="18" spans="1:7" x14ac:dyDescent="0.3">
      <c r="A18" s="15" t="s">
        <v>48</v>
      </c>
      <c r="B18" s="16">
        <f>SUM(H2:H16)</f>
        <v>341707</v>
      </c>
      <c r="C18" s="16"/>
    </row>
    <row r="19" spans="1:7" x14ac:dyDescent="0.3">
      <c r="A19" s="15" t="s">
        <v>49</v>
      </c>
      <c r="B19" s="16">
        <f>AVERAGE(H2:H16)</f>
        <v>22780.466666666667</v>
      </c>
    </row>
    <row r="20" spans="1:7" x14ac:dyDescent="0.3">
      <c r="A20" s="15" t="s">
        <v>50</v>
      </c>
      <c r="B20" s="16">
        <f>MAX(H2:H16)</f>
        <v>128000</v>
      </c>
    </row>
    <row r="21" spans="1:7" x14ac:dyDescent="0.3">
      <c r="A21" s="15" t="s">
        <v>51</v>
      </c>
      <c r="B21" s="16">
        <f>MIN(H2:H16)</f>
        <v>1375</v>
      </c>
    </row>
    <row r="22" spans="1:7" x14ac:dyDescent="0.3">
      <c r="A22" s="15" t="s">
        <v>52</v>
      </c>
      <c r="B22">
        <f>COUNTIF(C2:C16,"Fashion")</f>
        <v>5</v>
      </c>
    </row>
    <row r="23" spans="1:7" x14ac:dyDescent="0.3">
      <c r="A23" s="15" t="s">
        <v>53</v>
      </c>
      <c r="B23" s="16">
        <f>SUMIF(C2:C16,"Electronics",H2:H16)</f>
        <v>285992</v>
      </c>
    </row>
  </sheetData>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2026-08-09T05:12:01Z</dcterms:created>
  <dcterms:modified xsi:type="dcterms:W3CDTF">2026-08-10T20:13:51Z</dcterms:modified>
</cp:coreProperties>
</file>